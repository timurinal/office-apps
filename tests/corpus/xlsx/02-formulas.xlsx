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  <sheet name="Other Sheet" sheetId="2" state="visible" r:id="rId2"/>
    <sheet name="Q1 '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apple</t>
        </is>
      </c>
      <c r="D1">
        <f>SUM(A1:A5)</f>
        <v>150</v>
      </c>
      <c r="E1" t="str">
        <f>IF(A1&gt;5,"big","small")</f>
        <v>big</v>
      </c>
      <c r="F1" t="str">
        <f>VLOOKUP(30,A1:B5,2,FALSE)</f>
        <v>cherry</v>
      </c>
      <c r="G1" t="str">
        <f>CONCATENATE(B1," ",B2)</f>
        <v>apple Banana</v>
      </c>
      <c r="H1">
        <f>ROUND(2.567,1)</f>
        <v>2.6</v>
      </c>
      <c r="I1" s="1">
        <f>DATE(2024,3,5)</f>
        <v>45356.0</v>
      </c>
      <c r="J1">
        <f>'Other Sheet'!A1+'Other Sheet'!A2</f>
        <v>12</v>
      </c>
      <c r="K1">
        <f>A1</f>
        <v>10</v>
      </c>
      <c r="L1" t="e">
        <f>1/0</f>
        <v>#DIV/0!</v>
      </c>
      <c r="M1">
        <f>_xlfn.LAMBDA(x,x*2)(21)</f>
        <v>42</v>
      </c>
    </row>
    <row r="2">
      <c r="A2" t="n">
        <v>20</v>
      </c>
      <c r="B2" t="inlineStr">
        <is>
          <t>Banana</t>
        </is>
      </c>
      <c r="D2">
        <f>AVERAGE(A1:A5)</f>
        <v>30</v>
      </c>
      <c r="E2">
        <f>IF(AND(A1&gt;5,A2&lt;10),1,0)</f>
        <v>0</v>
      </c>
      <c r="F2">
        <f>INDEX(A1:A5,MATCH(40,A1:A5,0))</f>
        <v>40</v>
      </c>
      <c r="G2" t="str">
        <f>LEFT(B3,3)&amp;RIGHT(B3,2)&amp;MID(B3,2,2)</f>
        <v>cheryhe</v>
      </c>
      <c r="H2">
        <f>ABS(-3.5)+MOD(10,3)</f>
        <v>4.5</v>
      </c>
      <c r="I2">
        <f>YEAR(I1)*10000+MONTH(I1)*100+DAY(I1)</f>
        <v>20240305</v>
      </c>
      <c r="J2">
        <f>SUM('Other Sheet'!A1:A2)*2</f>
        <v>24</v>
      </c>
      <c r="K2">
        <f>K1+A2</f>
        <v>30</v>
      </c>
      <c r="L2" t="e">
        <f>NA()</f>
        <v>#N/A</v>
      </c>
      <c r="M2">
        <f>SUM(INDIRECT("A1:A3"))</f>
        <v>60</v>
      </c>
    </row>
    <row r="3">
      <c r="A3" t="n">
        <v>30</v>
      </c>
      <c r="B3" t="inlineStr">
        <is>
          <t>cherry</t>
        </is>
      </c>
      <c r="D3">
        <f>MIN(A1:A5)+MAX(A1:A5)</f>
        <v>60</v>
      </c>
      <c r="E3" t="b">
        <f>IF(OR(A1&gt;50,A2=20),TRUE,FALSE)</f>
        <v>1</v>
      </c>
      <c r="F3">
        <f>SUMIF(B1:B5,"apple",A1:A5)</f>
        <v>50</v>
      </c>
      <c r="G3">
        <f>LEN(B2)</f>
        <v>6</v>
      </c>
      <c r="H3">
        <f>POWER(2,10)+SQRT(81)</f>
        <v>1033</v>
      </c>
      <c r="I3" s="1">
        <f>I1+30</f>
        <v>45386.0</v>
      </c>
      <c r="J3">
        <f>'Q1 ''24'!A1*'Q1 ''24'!B1</f>
        <v>20</v>
      </c>
      <c r="K3">
        <f>K2+A3</f>
        <v>60</v>
      </c>
      <c r="L3" t="e">
        <f>VALUE("abc")</f>
        <v>#VALUE!</v>
      </c>
    </row>
    <row r="4">
      <c r="A4" t="n">
        <v>40</v>
      </c>
      <c r="B4" t="inlineStr">
        <is>
          <t>apple</t>
        </is>
      </c>
      <c r="D4">
        <f>COUNT(A1:B5)</f>
        <v>5</v>
      </c>
      <c r="E4" t="str">
        <f>IF(NOT(A1=10),"no","yes")</f>
        <v>yes</v>
      </c>
      <c r="F4">
        <f>COUNTIF(B1:B5,"a*")</f>
        <v>2</v>
      </c>
      <c r="G4" t="str">
        <f>UPPER(B1)&amp;LOWER(B2)</f>
        <v>APPLEbanana</v>
      </c>
      <c r="H4">
        <f>INT(-2.5)+CEILING(2.1,1)</f>
        <v>0</v>
      </c>
      <c r="I4" s="1">
        <f>EDATE(I1,2)</f>
        <v>45417.0</v>
      </c>
      <c r="J4">
        <f>$A$1+A$2+$A3</f>
        <v>60</v>
      </c>
      <c r="K4">
        <f>K3+A4</f>
        <v>100</v>
      </c>
      <c r="L4" t="e">
        <f>SQRT(-1)</f>
        <v>#NUM!</v>
      </c>
    </row>
    <row r="5">
      <c r="A5" t="n">
        <v>50</v>
      </c>
      <c r="B5" t="inlineStr">
        <is>
          <t>Date</t>
        </is>
      </c>
      <c r="D5">
        <f>COUNTA(A1:B5)</f>
        <v>10</v>
      </c>
      <c r="E5" t="str">
        <f>IF(A1&gt;100,"a",IF(A1&gt;5,"b","c"))</f>
        <v>b</v>
      </c>
      <c r="F5">
        <f>SUMIFS(A1:A5,B1:B5,"apple",A1:A5,"&gt;10")</f>
        <v>40</v>
      </c>
      <c r="G5" t="str">
        <f>SUBSTITUTE(B1,"p","P")</f>
        <v>aPPle</v>
      </c>
      <c r="H5">
        <f>PRODUCT(A1:A3)</f>
        <v>6000</v>
      </c>
      <c r="I5">
        <f>WEEKDAY(I1)</f>
        <v>3</v>
      </c>
      <c r="J5">
        <f>SUM(A:A)</f>
        <v>150</v>
      </c>
      <c r="K5">
        <f>K4+A5</f>
        <v>150</v>
      </c>
    </row>
    <row r="6">
      <c r="D6">
        <f>A1+A2*A3-A4/A5</f>
        <v>609.2</v>
      </c>
      <c r="E6">
        <f>IFERROR(1/0,-1)</f>
        <v>-1</v>
      </c>
      <c r="F6">
        <f>MATCH(25,A1:A5,1)</f>
        <v>2</v>
      </c>
      <c r="G6" t="str">
        <f>TRIM("  a   b  ")</f>
        <v>a b</v>
      </c>
      <c r="H6">
        <f>ROUNDUP(2.1,0)+ROUNDDOWN(2.9,0)</f>
        <v>5</v>
      </c>
      <c r="I6">
        <f>DATE(2024,1,31)-DATE(2023,12,25)</f>
        <v>37</v>
      </c>
      <c r="J6">
        <f>SUM('Other Sheet'!1:1)</f>
        <v>160</v>
      </c>
    </row>
    <row r="7">
      <c r="D7">
        <f>(A1+A2)*(A3-A4)</f>
        <v>-300</v>
      </c>
      <c r="E7" t="str">
        <f>_xlfn.IFS(A1&gt;100,"a",A1&gt;5,"b",TRUE,"c")</f>
        <v>b</v>
      </c>
      <c r="G7" t="str">
        <f>TEXT(1234.5,"#,##0.00")</f>
        <v>1,234.50</v>
      </c>
    </row>
    <row r="8">
      <c r="D8">
        <f>A2^2</f>
        <v>400</v>
      </c>
      <c r="E8" t="str">
        <f>_xlfn.SWITCH(A2,10,"ten",20,"twenty","other")</f>
        <v>twenty</v>
      </c>
      <c r="G8" t="str">
        <f>TEXT(0.256,"0.0%")</f>
        <v>25.6%</v>
      </c>
    </row>
    <row r="9">
      <c r="D9">
        <f>-A1+10%</f>
        <v>-9.9</v>
      </c>
      <c r="E9" t="str">
        <f>_xlfn.TEXTJOIN("-",TRUE,B1:B3)</f>
        <v>apple-Banana-cherry</v>
      </c>
    </row>
    <row r="10">
      <c r="E10" t="str">
        <f>_xlfn.CONCAT(B1,"/",B2)</f>
        <v>apple/Banana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>
        <f>Calc!D1+A1</f>
        <v>155</v>
      </c>
    </row>
    <row r="2">
      <c r="A2" t="n">
        <v>7</v>
      </c>
      <c r="B2">
        <f>SUM(Calc!A1:A5)/COUNT(Calc!A1:A5)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